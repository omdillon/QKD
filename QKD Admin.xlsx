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33c30a7a32802d/Documents/NCL/Year 3/QKD/"/>
    </mc:Choice>
  </mc:AlternateContent>
  <xr:revisionPtr revIDLastSave="362" documentId="8_{C223F488-EF60-4955-8651-718FF70ED26C}" xr6:coauthVersionLast="47" xr6:coauthVersionMax="47" xr10:uidLastSave="{6056B6B0-E4C4-4E6A-8A97-0CAB23B61B95}"/>
  <bookViews>
    <workbookView xWindow="-110" yWindow="-110" windowWidth="19420" windowHeight="10300" activeTab="1" xr2:uid="{1D60F646-B254-4177-90BA-2D22A29CC258}"/>
  </bookViews>
  <sheets>
    <sheet name="Timesheet" sheetId="1" r:id="rId1"/>
    <sheet name="Lit Review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</calcChain>
</file>

<file path=xl/sharedStrings.xml><?xml version="1.0" encoding="utf-8"?>
<sst xmlns="http://schemas.openxmlformats.org/spreadsheetml/2006/main" count="151" uniqueCount="116">
  <si>
    <t>Week Beginning</t>
  </si>
  <si>
    <t>Hours Per Week</t>
  </si>
  <si>
    <t>Cumulative Time</t>
  </si>
  <si>
    <t>Project Proposal</t>
  </si>
  <si>
    <t>Poster Presentation</t>
  </si>
  <si>
    <t>Project Demo</t>
  </si>
  <si>
    <t>Report Deadline</t>
  </si>
  <si>
    <t>Title</t>
  </si>
  <si>
    <t>Source type</t>
  </si>
  <si>
    <t>Link</t>
  </si>
  <si>
    <t>Area of Focus</t>
  </si>
  <si>
    <t>Comments</t>
  </si>
  <si>
    <t>Paper</t>
  </si>
  <si>
    <t>QKD Implementations</t>
  </si>
  <si>
    <t>Implements and simulates a variety of QKD algortihms, useful examples of simulations</t>
  </si>
  <si>
    <t xml:space="preserve">QKD Algorithms: BB84, B92, E91, and GHZ </t>
  </si>
  <si>
    <t>Review of QKD in 2025</t>
  </si>
  <si>
    <t>Article</t>
  </si>
  <si>
    <t>Review of Algorthims</t>
  </si>
  <si>
    <t>Useful breakdown on current systems, limitations, and potential advancements</t>
  </si>
  <si>
    <t>Kairostay: QKD implementation/ cyber nerd</t>
  </si>
  <si>
    <t xml:space="preserve">BB84 </t>
  </si>
  <si>
    <t>Simulated bb84 in python using qiskit - useful example for structuring the system</t>
  </si>
  <si>
    <t>Discussing Quantum Resistent Cryptography</t>
  </si>
  <si>
    <t>Bloke</t>
  </si>
  <si>
    <t>General Cryptography</t>
  </si>
  <si>
    <t>BB84 in Python3 w. Simulations</t>
  </si>
  <si>
    <t>bb84</t>
  </si>
  <si>
    <t>QRC</t>
  </si>
  <si>
    <t>QKD Nerd Website</t>
  </si>
  <si>
    <t>QKD Review</t>
  </si>
  <si>
    <t>QKD Algo Review</t>
  </si>
  <si>
    <t>Will be useful for analysis section, discussing classical systems &amp; the need for quantum resistent solutions</t>
  </si>
  <si>
    <t>Implements and simulates BB84</t>
  </si>
  <si>
    <t>Challenges in Quantum Computation</t>
  </si>
  <si>
    <t>Potential research areas</t>
  </si>
  <si>
    <t>Quantum Computation</t>
  </si>
  <si>
    <t>General info on the Quantum World -&gt; how to reach the quantum advantage</t>
  </si>
  <si>
    <t>Qiskit algorithm design objetcives</t>
  </si>
  <si>
    <t>Qiskit Research</t>
  </si>
  <si>
    <t>Quantum Algorithms</t>
  </si>
  <si>
    <t>High level research objectives produced by IBM for quantum algorithms</t>
  </si>
  <si>
    <t>MIT Quantum</t>
  </si>
  <si>
    <t>Commercialising Quantum Services for QA</t>
  </si>
  <si>
    <t>Quantum in the Market</t>
  </si>
  <si>
    <t>Proposes how the quantum advantage can be commercialised for industry</t>
  </si>
  <si>
    <t>BB84 research paper</t>
  </si>
  <si>
    <t>BB84 Research</t>
  </si>
  <si>
    <t>BB84 Key Distribution</t>
  </si>
  <si>
    <t>Very thorough breakdown of the bb84 protocol, describing the physical laws of the protocol</t>
  </si>
  <si>
    <t>Pennylane</t>
  </si>
  <si>
    <t>Dev Tool</t>
  </si>
  <si>
    <t>Quantum Dev</t>
  </si>
  <si>
    <t>Pennylane Quantum library for python to develop Quantum Algorithms, Alternative to Qiskit</t>
  </si>
  <si>
    <t>QKDN status 2024</t>
  </si>
  <si>
    <t>QKDNs 2024</t>
  </si>
  <si>
    <t>Review of Quantum</t>
  </si>
  <si>
    <t>Another review of quantum algorithms from 2024, identifying current status and gaps</t>
  </si>
  <si>
    <t>Quantum Conference 2024</t>
  </si>
  <si>
    <t>Conference</t>
  </si>
  <si>
    <t>https://ieeexplore.ieee.org/xpl/conhome/10628104/proceeding</t>
  </si>
  <si>
    <t>Comms, Networking, Computation</t>
  </si>
  <si>
    <t>List or research articles presented at the conference in 2024</t>
  </si>
  <si>
    <t xml:space="preserve"> Physical BB84 Implementation</t>
  </si>
  <si>
    <t>real life</t>
  </si>
  <si>
    <t>Quantum safe blockchain</t>
  </si>
  <si>
    <t>blockchain QRC</t>
  </si>
  <si>
    <t>implementing bb84 in real life</t>
  </si>
  <si>
    <t>describes the physcial implementation, not so useful for simulations, may be interesting for a discussion</t>
  </si>
  <si>
    <t xml:space="preserve">Quantum Resistent Blockchain </t>
  </si>
  <si>
    <t>Investigates novel architectures for QRC in blockchains</t>
  </si>
  <si>
    <t>Softwarized QKD Architectures</t>
  </si>
  <si>
    <t>QKD in software</t>
  </si>
  <si>
    <t>Virtualising Key Management</t>
  </si>
  <si>
    <t>Could be an interesting approach for commercially viable solutions</t>
  </si>
  <si>
    <t>QKD Network Architectures</t>
  </si>
  <si>
    <t>QKDN Architectures</t>
  </si>
  <si>
    <t>Implemting QKD to Networks</t>
  </si>
  <si>
    <t>May be another viable market implementation into classical networking stacks</t>
  </si>
  <si>
    <t>2nd Quantum Revolution: How the market may react</t>
  </si>
  <si>
    <t>Quantum Market</t>
  </si>
  <si>
    <t>Research on how the market will change</t>
  </si>
  <si>
    <t>Another source for research on how current market will react to further quantum implementations</t>
  </si>
  <si>
    <t>Single Qubit Transmission of Data for Key Distribution</t>
  </si>
  <si>
    <t>Physical Transmission</t>
  </si>
  <si>
    <t xml:space="preserve">Develops on existing systems with physical mods </t>
  </si>
  <si>
    <t>More on the theorhetical reserahc side, may not aid simulations</t>
  </si>
  <si>
    <t>Integrating QKD on terrestrial networks</t>
  </si>
  <si>
    <t>QKD in Classical Stack</t>
  </si>
  <si>
    <t>Looks to implement various QKD schemes terestrially</t>
  </si>
  <si>
    <t>could be another approach of implementing QKD on the existing infrastructure stack</t>
  </si>
  <si>
    <t>Point of Use</t>
  </si>
  <si>
    <t>Analysis/Current Systems</t>
  </si>
  <si>
    <t>Design</t>
  </si>
  <si>
    <t>Scope</t>
  </si>
  <si>
    <t>Analysis</t>
  </si>
  <si>
    <t>Scope/Design</t>
  </si>
  <si>
    <t>Tools</t>
  </si>
  <si>
    <t>industrialisation of QKD in communication networks</t>
  </si>
  <si>
    <t>Survey</t>
  </si>
  <si>
    <t>Industrialisation</t>
  </si>
  <si>
    <t>Takes existing protocols, appies to novel fields</t>
  </si>
  <si>
    <t>QKD authentication for smart grids</t>
  </si>
  <si>
    <t>smart grids</t>
  </si>
  <si>
    <t>novel field for QKD</t>
  </si>
  <si>
    <t>another lateral transistion for QKD</t>
  </si>
  <si>
    <t>global QKD freespace?</t>
  </si>
  <si>
    <t>global QKD</t>
  </si>
  <si>
    <t>looks to implement global QKD networks</t>
  </si>
  <si>
    <t>long distance QKD, cost-performance analysis,</t>
  </si>
  <si>
    <t>Martin wants research to go down this route, rather than a mini KMS system. "there is an inadequate number of papers in the open literature summarising the QKD development from the industry point of view.", highlights area of lateral research applications</t>
  </si>
  <si>
    <t>Read?</t>
  </si>
  <si>
    <t>poser guidance</t>
  </si>
  <si>
    <t>poster guide</t>
  </si>
  <si>
    <t>poster pres</t>
  </si>
  <si>
    <t>guide on engineering postersssh-keygen -t ed25519 -C "your_email@example.com"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</si>
</sst>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9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/>
      <top style="thick">
        <color auto="1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9" borderId="0" applyNumberFormat="0" applyBorder="0" applyAlignment="0" applyProtection="0"/>
    <xf numFmtId="0" fontId="3" fillId="10" borderId="0" applyNumberFormat="0" applyBorder="0" applyAlignment="0" applyProtection="0"/>
  </cellStyleXfs>
  <cellXfs count="60">
    <xf numFmtId="0" fontId="0" fillId="0" borderId="0" xfId="0"/>
    <xf numFmtId="14" fontId="0" fillId="0" borderId="0" xfId="0" applyNumberFormat="1"/>
    <xf numFmtId="0" fontId="0" fillId="0" borderId="2" xfId="0" applyBorder="1"/>
    <xf numFmtId="14" fontId="0" fillId="0" borderId="1" xfId="0" applyNumberFormat="1" applyBorder="1"/>
    <xf numFmtId="0" fontId="0" fillId="0" borderId="3" xfId="0" applyBorder="1"/>
    <xf numFmtId="0" fontId="0" fillId="0" borderId="4" xfId="0" applyBorder="1"/>
    <xf numFmtId="14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0" fillId="2" borderId="1" xfId="0" applyNumberFormat="1" applyFill="1" applyBorder="1"/>
    <xf numFmtId="0" fontId="0" fillId="2" borderId="9" xfId="0" applyFill="1" applyBorder="1"/>
    <xf numFmtId="0" fontId="0" fillId="2" borderId="2" xfId="0" applyFill="1" applyBorder="1"/>
    <xf numFmtId="0" fontId="0" fillId="2" borderId="0" xfId="0" applyFill="1"/>
    <xf numFmtId="14" fontId="0" fillId="3" borderId="1" xfId="0" applyNumberFormat="1" applyFill="1" applyBorder="1"/>
    <xf numFmtId="0" fontId="0" fillId="3" borderId="9" xfId="0" applyFill="1" applyBorder="1"/>
    <xf numFmtId="0" fontId="0" fillId="3" borderId="2" xfId="0" applyFill="1" applyBorder="1"/>
    <xf numFmtId="0" fontId="0" fillId="3" borderId="0" xfId="0" applyFill="1"/>
    <xf numFmtId="0" fontId="0" fillId="4" borderId="0" xfId="0" applyFill="1"/>
    <xf numFmtId="14" fontId="0" fillId="4" borderId="1" xfId="0" applyNumberFormat="1" applyFill="1" applyBorder="1"/>
    <xf numFmtId="0" fontId="0" fillId="4" borderId="9" xfId="0" applyFill="1" applyBorder="1"/>
    <xf numFmtId="0" fontId="0" fillId="4" borderId="2" xfId="0" applyFill="1" applyBorder="1"/>
    <xf numFmtId="0" fontId="0" fillId="5" borderId="0" xfId="0" applyFill="1"/>
    <xf numFmtId="14" fontId="0" fillId="5" borderId="1" xfId="0" applyNumberFormat="1" applyFill="1" applyBorder="1"/>
    <xf numFmtId="0" fontId="0" fillId="5" borderId="9" xfId="0" applyFill="1" applyBorder="1"/>
    <xf numFmtId="0" fontId="0" fillId="5" borderId="2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6" borderId="16" xfId="0" applyFill="1" applyBorder="1"/>
    <xf numFmtId="0" fontId="0" fillId="6" borderId="17" xfId="0" applyFill="1" applyBorder="1"/>
    <xf numFmtId="0" fontId="1" fillId="6" borderId="17" xfId="1" applyFill="1" applyBorder="1"/>
    <xf numFmtId="0" fontId="0" fillId="6" borderId="18" xfId="0" applyFill="1" applyBorder="1"/>
    <xf numFmtId="0" fontId="0" fillId="6" borderId="0" xfId="0" applyFill="1"/>
    <xf numFmtId="0" fontId="0" fillId="5" borderId="10" xfId="0" applyFill="1" applyBorder="1"/>
    <xf numFmtId="0" fontId="0" fillId="5" borderId="11" xfId="0" applyFill="1" applyBorder="1"/>
    <xf numFmtId="0" fontId="1" fillId="5" borderId="11" xfId="1" applyFill="1" applyBorder="1"/>
    <xf numFmtId="0" fontId="0" fillId="5" borderId="12" xfId="0" applyFill="1" applyBorder="1"/>
    <xf numFmtId="0" fontId="0" fillId="6" borderId="10" xfId="0" applyFill="1" applyBorder="1"/>
    <xf numFmtId="0" fontId="0" fillId="6" borderId="11" xfId="0" applyFill="1" applyBorder="1"/>
    <xf numFmtId="0" fontId="1" fillId="6" borderId="11" xfId="1" applyFill="1" applyBorder="1"/>
    <xf numFmtId="0" fontId="0" fillId="6" borderId="12" xfId="0" applyFill="1" applyBorder="1"/>
    <xf numFmtId="0" fontId="0" fillId="7" borderId="10" xfId="0" applyFill="1" applyBorder="1"/>
    <xf numFmtId="0" fontId="0" fillId="7" borderId="11" xfId="0" applyFill="1" applyBorder="1"/>
    <xf numFmtId="0" fontId="1" fillId="7" borderId="11" xfId="1" applyFill="1" applyBorder="1"/>
    <xf numFmtId="0" fontId="0" fillId="7" borderId="12" xfId="0" applyFill="1" applyBorder="1"/>
    <xf numFmtId="0" fontId="0" fillId="7" borderId="0" xfId="0" applyFill="1"/>
    <xf numFmtId="0" fontId="1" fillId="6" borderId="0" xfId="1" applyFill="1"/>
    <xf numFmtId="0" fontId="0" fillId="8" borderId="10" xfId="0" applyFill="1" applyBorder="1"/>
    <xf numFmtId="0" fontId="0" fillId="8" borderId="11" xfId="0" applyFill="1" applyBorder="1"/>
    <xf numFmtId="0" fontId="1" fillId="8" borderId="11" xfId="1" applyFill="1" applyBorder="1"/>
    <xf numFmtId="0" fontId="0" fillId="8" borderId="12" xfId="0" applyFill="1" applyBorder="1"/>
    <xf numFmtId="0" fontId="0" fillId="8" borderId="0" xfId="0" applyFill="1"/>
    <xf numFmtId="0" fontId="2" fillId="9" borderId="0" xfId="2"/>
    <xf numFmtId="0" fontId="3" fillId="10" borderId="0" xfId="3"/>
    <xf numFmtId="0" fontId="1" fillId="0" borderId="11" xfId="1" applyBorder="1"/>
  </cellXfs>
  <cellStyles count="4">
    <cellStyle name="Bad" xfId="3" builtinId="27"/>
    <cellStyle name="Good" xfId="2" builtinId="26"/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Cumulative Hours</a:t>
            </a:r>
            <a:r>
              <a:rPr lang="en-GB" baseline="0"/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Timesheet!$E$3:$E$36</c:f>
              <c:numCache>
                <c:formatCode>m/d/yyyy</c:formatCode>
                <c:ptCount val="34"/>
                <c:pt idx="0">
                  <c:v>45929</c:v>
                </c:pt>
                <c:pt idx="1">
                  <c:v>45936</c:v>
                </c:pt>
                <c:pt idx="2">
                  <c:v>45943</c:v>
                </c:pt>
                <c:pt idx="3">
                  <c:v>45950</c:v>
                </c:pt>
                <c:pt idx="4">
                  <c:v>45957</c:v>
                </c:pt>
                <c:pt idx="5">
                  <c:v>45964</c:v>
                </c:pt>
                <c:pt idx="6">
                  <c:v>45971</c:v>
                </c:pt>
                <c:pt idx="7">
                  <c:v>45978</c:v>
                </c:pt>
                <c:pt idx="8">
                  <c:v>45985</c:v>
                </c:pt>
                <c:pt idx="9">
                  <c:v>45992</c:v>
                </c:pt>
                <c:pt idx="10">
                  <c:v>45999</c:v>
                </c:pt>
                <c:pt idx="11">
                  <c:v>46006</c:v>
                </c:pt>
                <c:pt idx="12">
                  <c:v>46013</c:v>
                </c:pt>
                <c:pt idx="13">
                  <c:v>46020</c:v>
                </c:pt>
                <c:pt idx="14">
                  <c:v>46027</c:v>
                </c:pt>
                <c:pt idx="15">
                  <c:v>46034</c:v>
                </c:pt>
                <c:pt idx="16">
                  <c:v>46041</c:v>
                </c:pt>
                <c:pt idx="17">
                  <c:v>46048</c:v>
                </c:pt>
                <c:pt idx="18">
                  <c:v>46055</c:v>
                </c:pt>
                <c:pt idx="19">
                  <c:v>46062</c:v>
                </c:pt>
                <c:pt idx="20">
                  <c:v>46069</c:v>
                </c:pt>
                <c:pt idx="21">
                  <c:v>46076</c:v>
                </c:pt>
                <c:pt idx="22">
                  <c:v>46083</c:v>
                </c:pt>
                <c:pt idx="23">
                  <c:v>46090</c:v>
                </c:pt>
                <c:pt idx="24">
                  <c:v>46097</c:v>
                </c:pt>
                <c:pt idx="25">
                  <c:v>46104</c:v>
                </c:pt>
                <c:pt idx="26">
                  <c:v>46111</c:v>
                </c:pt>
                <c:pt idx="27">
                  <c:v>46118</c:v>
                </c:pt>
                <c:pt idx="28">
                  <c:v>46125</c:v>
                </c:pt>
                <c:pt idx="29">
                  <c:v>46132</c:v>
                </c:pt>
                <c:pt idx="30">
                  <c:v>46139</c:v>
                </c:pt>
                <c:pt idx="31">
                  <c:v>46146</c:v>
                </c:pt>
                <c:pt idx="32">
                  <c:v>46153</c:v>
                </c:pt>
                <c:pt idx="33">
                  <c:v>46160</c:v>
                </c:pt>
              </c:numCache>
            </c:numRef>
          </c:cat>
          <c:val>
            <c:numRef>
              <c:f>Timesheet!$G$3:$G$36</c:f>
              <c:numCache>
                <c:formatCode>General</c:formatCode>
                <c:ptCount val="34"/>
                <c:pt idx="0">
                  <c:v>3</c:v>
                </c:pt>
                <c:pt idx="1">
                  <c:v>7</c:v>
                </c:pt>
                <c:pt idx="2">
                  <c:v>12</c:v>
                </c:pt>
                <c:pt idx="3">
                  <c:v>16</c:v>
                </c:pt>
                <c:pt idx="4">
                  <c:v>16</c:v>
                </c:pt>
                <c:pt idx="5">
                  <c:v>19</c:v>
                </c:pt>
                <c:pt idx="6">
                  <c:v>22</c:v>
                </c:pt>
                <c:pt idx="7">
                  <c:v>42</c:v>
                </c:pt>
                <c:pt idx="8">
                  <c:v>44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48</c:v>
                </c:pt>
                <c:pt idx="18">
                  <c:v>48</c:v>
                </c:pt>
                <c:pt idx="19">
                  <c:v>48</c:v>
                </c:pt>
                <c:pt idx="20">
                  <c:v>48</c:v>
                </c:pt>
                <c:pt idx="21">
                  <c:v>48</c:v>
                </c:pt>
                <c:pt idx="22">
                  <c:v>48</c:v>
                </c:pt>
                <c:pt idx="23">
                  <c:v>48</c:v>
                </c:pt>
                <c:pt idx="24">
                  <c:v>48</c:v>
                </c:pt>
                <c:pt idx="25">
                  <c:v>48</c:v>
                </c:pt>
                <c:pt idx="26">
                  <c:v>48</c:v>
                </c:pt>
                <c:pt idx="27">
                  <c:v>48</c:v>
                </c:pt>
                <c:pt idx="28">
                  <c:v>48</c:v>
                </c:pt>
                <c:pt idx="29">
                  <c:v>48</c:v>
                </c:pt>
                <c:pt idx="30">
                  <c:v>48</c:v>
                </c:pt>
                <c:pt idx="31">
                  <c:v>48</c:v>
                </c:pt>
                <c:pt idx="32">
                  <c:v>48</c:v>
                </c:pt>
                <c:pt idx="33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81-451A-A99E-69783F3E6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8436479"/>
        <c:axId val="1498436959"/>
      </c:lineChart>
      <c:dateAx>
        <c:axId val="149843647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436959"/>
        <c:crosses val="autoZero"/>
        <c:auto val="1"/>
        <c:lblOffset val="100"/>
        <c:baseTimeUnit val="days"/>
      </c:dateAx>
      <c:valAx>
        <c:axId val="149843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436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9524</xdr:colOff>
      <xdr:row>1</xdr:row>
      <xdr:rowOff>12700</xdr:rowOff>
    </xdr:from>
    <xdr:to>
      <xdr:col>20</xdr:col>
      <xdr:colOff>533400</xdr:colOff>
      <xdr:row>36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E322D2-75F1-EBD5-6B51-A0EC67880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itsloan.mit.edu/ideas-made-to-matter/quantum-computing-what-leaders-need-to-know-now" TargetMode="External"/><Relationship Id="rId13" Type="http://schemas.openxmlformats.org/officeDocument/2006/relationships/hyperlink" Target="https://ieeexplore.ieee.org/document/10628147" TargetMode="External"/><Relationship Id="rId18" Type="http://schemas.openxmlformats.org/officeDocument/2006/relationships/hyperlink" Target="https://ieeexplore.ieee.org/document/10628318" TargetMode="External"/><Relationship Id="rId3" Type="http://schemas.openxmlformats.org/officeDocument/2006/relationships/hyperlink" Target="https://www.kairostay.com/" TargetMode="External"/><Relationship Id="rId21" Type="http://schemas.openxmlformats.org/officeDocument/2006/relationships/hyperlink" Target="https://www.nature.com/articles/s41598-022-16090-w" TargetMode="External"/><Relationship Id="rId7" Type="http://schemas.openxmlformats.org/officeDocument/2006/relationships/hyperlink" Target="https://www.ibm.com/quantum/blog/quantum-working-groups" TargetMode="External"/><Relationship Id="rId12" Type="http://schemas.openxmlformats.org/officeDocument/2006/relationships/hyperlink" Target="https://ieeexplore.ieee.org/xpl/conhome/10628104/proceeding" TargetMode="External"/><Relationship Id="rId17" Type="http://schemas.openxmlformats.org/officeDocument/2006/relationships/hyperlink" Target="https://ieeexplore.ieee.org/document/10628162" TargetMode="External"/><Relationship Id="rId2" Type="http://schemas.openxmlformats.org/officeDocument/2006/relationships/hyperlink" Target="https://link.springer.com/article/10.1007/s11042-024-20535-x" TargetMode="External"/><Relationship Id="rId16" Type="http://schemas.openxmlformats.org/officeDocument/2006/relationships/hyperlink" Target="https://ieeexplore.ieee.org/document/10628240" TargetMode="External"/><Relationship Id="rId20" Type="http://schemas.openxmlformats.org/officeDocument/2006/relationships/hyperlink" Target="https://ietresearch.onlinelibrary.wiley.com/doi/full/10.1049/qtc2.12044" TargetMode="External"/><Relationship Id="rId1" Type="http://schemas.openxmlformats.org/officeDocument/2006/relationships/hyperlink" Target="https://onlinelibrary.wiley.com/doi/full/10.1002/cpe.70221" TargetMode="External"/><Relationship Id="rId6" Type="http://schemas.openxmlformats.org/officeDocument/2006/relationships/hyperlink" Target="https://thequantuminsider.com/2023/03/24/quantum-computing-challenges/" TargetMode="External"/><Relationship Id="rId11" Type="http://schemas.openxmlformats.org/officeDocument/2006/relationships/hyperlink" Target="https://ieeexplore.ieee.org/document/10628159" TargetMode="External"/><Relationship Id="rId5" Type="http://schemas.openxmlformats.org/officeDocument/2006/relationships/hyperlink" Target="https://www.mdpi.com/1424-8220/22/16/6284" TargetMode="External"/><Relationship Id="rId15" Type="http://schemas.openxmlformats.org/officeDocument/2006/relationships/hyperlink" Target="https://ieeexplore.ieee.org/document/10628345" TargetMode="External"/><Relationship Id="rId23" Type="http://schemas.openxmlformats.org/officeDocument/2006/relationships/hyperlink" Target="https://icme.stanford.edu/sites/g/files/sbiybj17116/files/media/file/designing_excellent_engineering_posters-workshop_0.pdf" TargetMode="External"/><Relationship Id="rId10" Type="http://schemas.openxmlformats.org/officeDocument/2006/relationships/hyperlink" Target="https://pennylane.ai/codebook/introduction-to-quantum-computing" TargetMode="External"/><Relationship Id="rId19" Type="http://schemas.openxmlformats.org/officeDocument/2006/relationships/hyperlink" Target="https://ieeexplore.ieee.org/document/10628374" TargetMode="External"/><Relationship Id="rId4" Type="http://schemas.openxmlformats.org/officeDocument/2006/relationships/hyperlink" Target="https://www.computer.org/publications/tech-news/trends/quantum-resistant-cryptography" TargetMode="External"/><Relationship Id="rId9" Type="http://schemas.openxmlformats.org/officeDocument/2006/relationships/hyperlink" Target="https://www.qi.damtp.cam.ac.uk/files/PartIIQIC/QIC-6.pdf" TargetMode="External"/><Relationship Id="rId14" Type="http://schemas.openxmlformats.org/officeDocument/2006/relationships/hyperlink" Target="https://ieeexplore.ieee.org/document/10628167" TargetMode="External"/><Relationship Id="rId22" Type="http://schemas.openxmlformats.org/officeDocument/2006/relationships/hyperlink" Target="https://www.nature.com/articles/s44287-025-00238-7?fromPaywallRec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B144-5C3E-47EA-AFD9-2007492993E3}">
  <dimension ref="D2:G37"/>
  <sheetViews>
    <sheetView topLeftCell="A17" zoomScale="73" zoomScaleNormal="50" workbookViewId="0">
      <selection activeCell="F13" sqref="F13"/>
    </sheetView>
  </sheetViews>
  <sheetFormatPr defaultRowHeight="14.5" x14ac:dyDescent="0.35"/>
  <cols>
    <col min="4" max="7" width="16.6328125" customWidth="1"/>
  </cols>
  <sheetData>
    <row r="2" spans="4:7" ht="15" thickBot="1" x14ac:dyDescent="0.4">
      <c r="E2" s="4" t="s">
        <v>0</v>
      </c>
      <c r="F2" s="8" t="s">
        <v>1</v>
      </c>
      <c r="G2" s="5" t="s">
        <v>2</v>
      </c>
    </row>
    <row r="3" spans="4:7" ht="15" thickTop="1" x14ac:dyDescent="0.35">
      <c r="E3" s="6">
        <v>45929</v>
      </c>
      <c r="F3" s="9">
        <v>3</v>
      </c>
      <c r="G3" s="7">
        <f>F3</f>
        <v>3</v>
      </c>
    </row>
    <row r="4" spans="4:7" x14ac:dyDescent="0.35">
      <c r="E4" s="3">
        <v>45936</v>
      </c>
      <c r="F4" s="10">
        <v>4</v>
      </c>
      <c r="G4" s="2">
        <f>G3+F4</f>
        <v>7</v>
      </c>
    </row>
    <row r="5" spans="4:7" x14ac:dyDescent="0.35">
      <c r="E5" s="3">
        <v>45943</v>
      </c>
      <c r="F5" s="10">
        <v>5</v>
      </c>
      <c r="G5" s="2">
        <f>G4+F5</f>
        <v>12</v>
      </c>
    </row>
    <row r="6" spans="4:7" x14ac:dyDescent="0.35">
      <c r="E6" s="3">
        <v>45950</v>
      </c>
      <c r="F6" s="10">
        <v>4</v>
      </c>
      <c r="G6" s="2">
        <f t="shared" ref="G6:G36" si="0">G5+F6</f>
        <v>16</v>
      </c>
    </row>
    <row r="7" spans="4:7" x14ac:dyDescent="0.35">
      <c r="D7" s="14" t="s">
        <v>3</v>
      </c>
      <c r="E7" s="11">
        <v>45957</v>
      </c>
      <c r="F7" s="12">
        <v>0</v>
      </c>
      <c r="G7" s="13">
        <f t="shared" si="0"/>
        <v>16</v>
      </c>
    </row>
    <row r="8" spans="4:7" x14ac:dyDescent="0.35">
      <c r="E8" s="3">
        <v>45964</v>
      </c>
      <c r="F8" s="10">
        <v>3</v>
      </c>
      <c r="G8" s="2">
        <f t="shared" si="0"/>
        <v>19</v>
      </c>
    </row>
    <row r="9" spans="4:7" x14ac:dyDescent="0.35">
      <c r="E9" s="3">
        <v>45971</v>
      </c>
      <c r="F9" s="10">
        <v>3</v>
      </c>
      <c r="G9" s="2">
        <f t="shared" si="0"/>
        <v>22</v>
      </c>
    </row>
    <row r="10" spans="4:7" x14ac:dyDescent="0.35">
      <c r="E10" s="3">
        <v>45978</v>
      </c>
      <c r="F10" s="10">
        <v>20</v>
      </c>
      <c r="G10" s="2">
        <f t="shared" si="0"/>
        <v>42</v>
      </c>
    </row>
    <row r="11" spans="4:7" x14ac:dyDescent="0.35">
      <c r="E11" s="3">
        <v>45985</v>
      </c>
      <c r="F11" s="10">
        <v>2</v>
      </c>
      <c r="G11" s="2">
        <f t="shared" si="0"/>
        <v>44</v>
      </c>
    </row>
    <row r="12" spans="4:7" x14ac:dyDescent="0.35">
      <c r="E12" s="3">
        <v>45992</v>
      </c>
      <c r="F12" s="10">
        <v>4</v>
      </c>
      <c r="G12" s="2">
        <f t="shared" si="0"/>
        <v>48</v>
      </c>
    </row>
    <row r="13" spans="4:7" x14ac:dyDescent="0.35">
      <c r="E13" s="3">
        <v>45999</v>
      </c>
      <c r="F13" s="10">
        <v>0</v>
      </c>
      <c r="G13" s="2">
        <f t="shared" si="0"/>
        <v>48</v>
      </c>
    </row>
    <row r="14" spans="4:7" x14ac:dyDescent="0.35">
      <c r="E14" s="3">
        <v>46006</v>
      </c>
      <c r="F14" s="10">
        <v>0</v>
      </c>
      <c r="G14" s="2">
        <f t="shared" si="0"/>
        <v>48</v>
      </c>
    </row>
    <row r="15" spans="4:7" x14ac:dyDescent="0.35">
      <c r="E15" s="3">
        <v>46013</v>
      </c>
      <c r="F15" s="10">
        <v>0</v>
      </c>
      <c r="G15" s="2">
        <f t="shared" si="0"/>
        <v>48</v>
      </c>
    </row>
    <row r="16" spans="4:7" x14ac:dyDescent="0.35">
      <c r="E16" s="3">
        <v>46020</v>
      </c>
      <c r="F16" s="10">
        <v>0</v>
      </c>
      <c r="G16" s="2">
        <f t="shared" si="0"/>
        <v>48</v>
      </c>
    </row>
    <row r="17" spans="4:7" x14ac:dyDescent="0.35">
      <c r="E17" s="3">
        <v>46027</v>
      </c>
      <c r="F17" s="10">
        <v>0</v>
      </c>
      <c r="G17" s="2">
        <f t="shared" si="0"/>
        <v>48</v>
      </c>
    </row>
    <row r="18" spans="4:7" x14ac:dyDescent="0.35">
      <c r="E18" s="3">
        <v>46034</v>
      </c>
      <c r="F18" s="10">
        <v>0</v>
      </c>
      <c r="G18" s="2">
        <f t="shared" si="0"/>
        <v>48</v>
      </c>
    </row>
    <row r="19" spans="4:7" x14ac:dyDescent="0.35">
      <c r="E19" s="3">
        <v>46041</v>
      </c>
      <c r="F19" s="10">
        <v>0</v>
      </c>
      <c r="G19" s="2">
        <f t="shared" si="0"/>
        <v>48</v>
      </c>
    </row>
    <row r="20" spans="4:7" x14ac:dyDescent="0.35">
      <c r="E20" s="3">
        <v>46048</v>
      </c>
      <c r="F20" s="10">
        <v>0</v>
      </c>
      <c r="G20" s="2">
        <f t="shared" si="0"/>
        <v>48</v>
      </c>
    </row>
    <row r="21" spans="4:7" x14ac:dyDescent="0.35">
      <c r="E21" s="3">
        <v>46055</v>
      </c>
      <c r="F21" s="10">
        <v>0</v>
      </c>
      <c r="G21" s="2">
        <f t="shared" si="0"/>
        <v>48</v>
      </c>
    </row>
    <row r="22" spans="4:7" x14ac:dyDescent="0.35">
      <c r="D22" s="18" t="s">
        <v>4</v>
      </c>
      <c r="E22" s="15">
        <v>46062</v>
      </c>
      <c r="F22" s="16">
        <v>0</v>
      </c>
      <c r="G22" s="17">
        <f t="shared" si="0"/>
        <v>48</v>
      </c>
    </row>
    <row r="23" spans="4:7" x14ac:dyDescent="0.35">
      <c r="E23" s="3">
        <v>46069</v>
      </c>
      <c r="F23" s="10">
        <v>0</v>
      </c>
      <c r="G23" s="2">
        <f t="shared" si="0"/>
        <v>48</v>
      </c>
    </row>
    <row r="24" spans="4:7" x14ac:dyDescent="0.35">
      <c r="E24" s="3">
        <v>46076</v>
      </c>
      <c r="F24" s="10">
        <v>0</v>
      </c>
      <c r="G24" s="2">
        <f t="shared" si="0"/>
        <v>48</v>
      </c>
    </row>
    <row r="25" spans="4:7" x14ac:dyDescent="0.35">
      <c r="E25" s="3">
        <v>46083</v>
      </c>
      <c r="F25" s="10">
        <v>0</v>
      </c>
      <c r="G25" s="2">
        <f t="shared" si="0"/>
        <v>48</v>
      </c>
    </row>
    <row r="26" spans="4:7" x14ac:dyDescent="0.35">
      <c r="E26" s="3">
        <v>46090</v>
      </c>
      <c r="F26" s="10">
        <v>0</v>
      </c>
      <c r="G26" s="2">
        <f t="shared" si="0"/>
        <v>48</v>
      </c>
    </row>
    <row r="27" spans="4:7" x14ac:dyDescent="0.35">
      <c r="E27" s="3">
        <v>46097</v>
      </c>
      <c r="F27" s="10">
        <v>0</v>
      </c>
      <c r="G27" s="2">
        <f t="shared" si="0"/>
        <v>48</v>
      </c>
    </row>
    <row r="28" spans="4:7" x14ac:dyDescent="0.35">
      <c r="E28" s="3">
        <v>46104</v>
      </c>
      <c r="F28" s="10">
        <v>0</v>
      </c>
      <c r="G28" s="2">
        <f t="shared" si="0"/>
        <v>48</v>
      </c>
    </row>
    <row r="29" spans="4:7" x14ac:dyDescent="0.35">
      <c r="E29" s="3">
        <v>46111</v>
      </c>
      <c r="F29" s="10">
        <v>0</v>
      </c>
      <c r="G29" s="2">
        <f t="shared" si="0"/>
        <v>48</v>
      </c>
    </row>
    <row r="30" spans="4:7" x14ac:dyDescent="0.35">
      <c r="E30" s="3">
        <v>46118</v>
      </c>
      <c r="F30" s="10">
        <v>0</v>
      </c>
      <c r="G30" s="2">
        <f t="shared" si="0"/>
        <v>48</v>
      </c>
    </row>
    <row r="31" spans="4:7" x14ac:dyDescent="0.35">
      <c r="E31" s="3">
        <v>46125</v>
      </c>
      <c r="F31" s="10">
        <v>0</v>
      </c>
      <c r="G31" s="2">
        <f t="shared" si="0"/>
        <v>48</v>
      </c>
    </row>
    <row r="32" spans="4:7" x14ac:dyDescent="0.35">
      <c r="E32" s="3">
        <v>46132</v>
      </c>
      <c r="F32" s="10">
        <v>0</v>
      </c>
      <c r="G32" s="2">
        <f t="shared" si="0"/>
        <v>48</v>
      </c>
    </row>
    <row r="33" spans="4:7" x14ac:dyDescent="0.35">
      <c r="D33" s="19" t="s">
        <v>5</v>
      </c>
      <c r="E33" s="20">
        <v>46139</v>
      </c>
      <c r="F33" s="21">
        <v>0</v>
      </c>
      <c r="G33" s="22">
        <f t="shared" si="0"/>
        <v>48</v>
      </c>
    </row>
    <row r="34" spans="4:7" x14ac:dyDescent="0.35">
      <c r="E34" s="3">
        <v>46146</v>
      </c>
      <c r="F34" s="10">
        <v>0</v>
      </c>
      <c r="G34" s="2">
        <f t="shared" si="0"/>
        <v>48</v>
      </c>
    </row>
    <row r="35" spans="4:7" x14ac:dyDescent="0.35">
      <c r="D35" s="23" t="s">
        <v>6</v>
      </c>
      <c r="E35" s="24">
        <v>46153</v>
      </c>
      <c r="F35" s="25">
        <v>0</v>
      </c>
      <c r="G35" s="26">
        <f t="shared" si="0"/>
        <v>48</v>
      </c>
    </row>
    <row r="36" spans="4:7" x14ac:dyDescent="0.35">
      <c r="E36" s="3">
        <v>46160</v>
      </c>
      <c r="F36" s="10">
        <v>0</v>
      </c>
      <c r="G36" s="2">
        <f t="shared" si="0"/>
        <v>48</v>
      </c>
    </row>
    <row r="37" spans="4:7" x14ac:dyDescent="0.35">
      <c r="E37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74D2B-3CED-442F-8F5D-4F7E9530009D}">
  <dimension ref="A1:G106"/>
  <sheetViews>
    <sheetView tabSelected="1" topLeftCell="A9" zoomScale="78" workbookViewId="0">
      <selection activeCell="F24" sqref="F24"/>
    </sheetView>
  </sheetViews>
  <sheetFormatPr defaultRowHeight="14.5" x14ac:dyDescent="0.35"/>
  <cols>
    <col min="1" max="1" width="52" customWidth="1"/>
    <col min="2" max="2" width="9.08984375" customWidth="1"/>
    <col min="3" max="3" width="20.6328125" customWidth="1"/>
    <col min="4" max="4" width="25.453125" customWidth="1"/>
    <col min="5" max="5" width="20.6328125" customWidth="1"/>
    <col min="6" max="6" width="44.90625" customWidth="1"/>
    <col min="7" max="7" width="200.6328125" customWidth="1"/>
  </cols>
  <sheetData>
    <row r="1" spans="1:7" ht="15" thickBot="1" x14ac:dyDescent="0.4">
      <c r="A1" s="30" t="s">
        <v>7</v>
      </c>
      <c r="B1" s="30" t="s">
        <v>111</v>
      </c>
      <c r="C1" s="31" t="s">
        <v>8</v>
      </c>
      <c r="D1" s="31" t="s">
        <v>91</v>
      </c>
      <c r="E1" s="31" t="s">
        <v>9</v>
      </c>
      <c r="F1" s="31" t="s">
        <v>10</v>
      </c>
      <c r="G1" s="32" t="s">
        <v>11</v>
      </c>
    </row>
    <row r="2" spans="1:7" s="37" customFormat="1" ht="15" thickTop="1" x14ac:dyDescent="0.35">
      <c r="A2" s="33" t="s">
        <v>15</v>
      </c>
      <c r="B2" s="57"/>
      <c r="C2" s="34" t="s">
        <v>12</v>
      </c>
      <c r="D2" s="34" t="s">
        <v>92</v>
      </c>
      <c r="E2" s="35" t="s">
        <v>31</v>
      </c>
      <c r="F2" s="34" t="s">
        <v>13</v>
      </c>
      <c r="G2" s="36" t="s">
        <v>14</v>
      </c>
    </row>
    <row r="3" spans="1:7" s="23" customFormat="1" x14ac:dyDescent="0.35">
      <c r="A3" s="38" t="s">
        <v>16</v>
      </c>
      <c r="B3" s="58"/>
      <c r="C3" s="39" t="s">
        <v>17</v>
      </c>
      <c r="D3" s="39" t="s">
        <v>94</v>
      </c>
      <c r="E3" s="40" t="s">
        <v>30</v>
      </c>
      <c r="F3" s="39" t="s">
        <v>18</v>
      </c>
      <c r="G3" s="41" t="s">
        <v>19</v>
      </c>
    </row>
    <row r="4" spans="1:7" s="50" customFormat="1" x14ac:dyDescent="0.35">
      <c r="A4" s="46" t="s">
        <v>20</v>
      </c>
      <c r="B4" s="58"/>
      <c r="C4" s="47" t="s">
        <v>24</v>
      </c>
      <c r="D4" s="47" t="s">
        <v>93</v>
      </c>
      <c r="E4" s="48" t="s">
        <v>29</v>
      </c>
      <c r="F4" s="47" t="s">
        <v>21</v>
      </c>
      <c r="G4" s="49" t="s">
        <v>22</v>
      </c>
    </row>
    <row r="5" spans="1:7" s="37" customFormat="1" x14ac:dyDescent="0.35">
      <c r="A5" s="42" t="s">
        <v>23</v>
      </c>
      <c r="B5" s="58"/>
      <c r="C5" s="43" t="s">
        <v>17</v>
      </c>
      <c r="D5" s="43" t="s">
        <v>92</v>
      </c>
      <c r="E5" s="44" t="s">
        <v>28</v>
      </c>
      <c r="F5" s="43" t="s">
        <v>25</v>
      </c>
      <c r="G5" s="45" t="s">
        <v>32</v>
      </c>
    </row>
    <row r="6" spans="1:7" s="50" customFormat="1" x14ac:dyDescent="0.35">
      <c r="A6" s="46" t="s">
        <v>26</v>
      </c>
      <c r="B6" s="58"/>
      <c r="C6" s="47" t="s">
        <v>17</v>
      </c>
      <c r="D6" s="47" t="s">
        <v>93</v>
      </c>
      <c r="E6" s="48" t="s">
        <v>27</v>
      </c>
      <c r="F6" s="47" t="s">
        <v>21</v>
      </c>
      <c r="G6" s="49" t="s">
        <v>33</v>
      </c>
    </row>
    <row r="7" spans="1:7" s="23" customFormat="1" x14ac:dyDescent="0.35">
      <c r="A7" s="38" t="s">
        <v>34</v>
      </c>
      <c r="B7" s="58"/>
      <c r="C7" s="39" t="s">
        <v>17</v>
      </c>
      <c r="D7" s="39" t="s">
        <v>94</v>
      </c>
      <c r="E7" s="40" t="s">
        <v>35</v>
      </c>
      <c r="F7" s="39" t="s">
        <v>36</v>
      </c>
      <c r="G7" s="41" t="s">
        <v>37</v>
      </c>
    </row>
    <row r="8" spans="1:7" s="56" customFormat="1" x14ac:dyDescent="0.35">
      <c r="A8" s="52" t="s">
        <v>38</v>
      </c>
      <c r="B8" s="57"/>
      <c r="C8" s="53" t="s">
        <v>17</v>
      </c>
      <c r="D8" s="53" t="s">
        <v>97</v>
      </c>
      <c r="E8" s="54" t="s">
        <v>39</v>
      </c>
      <c r="F8" s="53" t="s">
        <v>40</v>
      </c>
      <c r="G8" s="55" t="s">
        <v>41</v>
      </c>
    </row>
    <row r="9" spans="1:7" s="37" customFormat="1" x14ac:dyDescent="0.35">
      <c r="A9" s="42" t="s">
        <v>43</v>
      </c>
      <c r="B9" s="58"/>
      <c r="C9" s="43" t="s">
        <v>17</v>
      </c>
      <c r="D9" s="43" t="s">
        <v>95</v>
      </c>
      <c r="E9" s="44" t="s">
        <v>42</v>
      </c>
      <c r="F9" s="43" t="s">
        <v>44</v>
      </c>
      <c r="G9" s="45" t="s">
        <v>45</v>
      </c>
    </row>
    <row r="10" spans="1:7" s="23" customFormat="1" x14ac:dyDescent="0.35">
      <c r="A10" s="38" t="s">
        <v>46</v>
      </c>
      <c r="B10" s="57"/>
      <c r="C10" s="39" t="s">
        <v>12</v>
      </c>
      <c r="D10" s="39" t="s">
        <v>94</v>
      </c>
      <c r="E10" s="40" t="s">
        <v>47</v>
      </c>
      <c r="F10" s="39" t="s">
        <v>48</v>
      </c>
      <c r="G10" s="41" t="s">
        <v>49</v>
      </c>
    </row>
    <row r="11" spans="1:7" s="56" customFormat="1" x14ac:dyDescent="0.35">
      <c r="A11" s="52" t="s">
        <v>50</v>
      </c>
      <c r="B11" s="57"/>
      <c r="C11" s="53" t="s">
        <v>51</v>
      </c>
      <c r="D11" s="53" t="s">
        <v>97</v>
      </c>
      <c r="E11" s="54" t="s">
        <v>50</v>
      </c>
      <c r="F11" s="53" t="s">
        <v>52</v>
      </c>
      <c r="G11" s="55" t="s">
        <v>53</v>
      </c>
    </row>
    <row r="12" spans="1:7" s="23" customFormat="1" x14ac:dyDescent="0.35">
      <c r="A12" s="38" t="s">
        <v>54</v>
      </c>
      <c r="B12" s="58"/>
      <c r="C12" s="39" t="s">
        <v>17</v>
      </c>
      <c r="D12" s="39" t="s">
        <v>94</v>
      </c>
      <c r="E12" s="40" t="s">
        <v>55</v>
      </c>
      <c r="F12" s="39" t="s">
        <v>56</v>
      </c>
      <c r="G12" s="41" t="s">
        <v>57</v>
      </c>
    </row>
    <row r="13" spans="1:7" s="23" customFormat="1" x14ac:dyDescent="0.35">
      <c r="A13" s="38" t="s">
        <v>58</v>
      </c>
      <c r="B13" s="58"/>
      <c r="C13" s="39" t="s">
        <v>59</v>
      </c>
      <c r="D13" s="39" t="s">
        <v>94</v>
      </c>
      <c r="E13" s="40" t="s">
        <v>60</v>
      </c>
      <c r="F13" s="39" t="s">
        <v>61</v>
      </c>
      <c r="G13" s="41" t="s">
        <v>62</v>
      </c>
    </row>
    <row r="14" spans="1:7" s="37" customFormat="1" x14ac:dyDescent="0.35">
      <c r="A14" s="42" t="s">
        <v>63</v>
      </c>
      <c r="B14" s="58"/>
      <c r="C14" s="43" t="s">
        <v>12</v>
      </c>
      <c r="D14" s="43" t="s">
        <v>95</v>
      </c>
      <c r="E14" s="51" t="s">
        <v>64</v>
      </c>
      <c r="F14" s="43" t="s">
        <v>67</v>
      </c>
      <c r="G14" s="45" t="s">
        <v>68</v>
      </c>
    </row>
    <row r="15" spans="1:7" s="37" customFormat="1" x14ac:dyDescent="0.35">
      <c r="A15" s="42" t="s">
        <v>65</v>
      </c>
      <c r="B15" s="58"/>
      <c r="C15" s="43" t="s">
        <v>12</v>
      </c>
      <c r="D15" s="43" t="s">
        <v>95</v>
      </c>
      <c r="E15" s="44" t="s">
        <v>66</v>
      </c>
      <c r="F15" s="43" t="s">
        <v>69</v>
      </c>
      <c r="G15" s="45" t="s">
        <v>70</v>
      </c>
    </row>
    <row r="16" spans="1:7" s="37" customFormat="1" x14ac:dyDescent="0.35">
      <c r="A16" s="42" t="s">
        <v>71</v>
      </c>
      <c r="B16" s="57"/>
      <c r="C16" s="43" t="s">
        <v>12</v>
      </c>
      <c r="D16" s="43" t="s">
        <v>96</v>
      </c>
      <c r="E16" s="44" t="s">
        <v>72</v>
      </c>
      <c r="F16" s="43" t="s">
        <v>73</v>
      </c>
      <c r="G16" s="45" t="s">
        <v>74</v>
      </c>
    </row>
    <row r="17" spans="1:7" s="50" customFormat="1" x14ac:dyDescent="0.35">
      <c r="A17" s="46" t="s">
        <v>75</v>
      </c>
      <c r="B17" s="58"/>
      <c r="C17" s="47" t="s">
        <v>12</v>
      </c>
      <c r="D17" s="47" t="s">
        <v>93</v>
      </c>
      <c r="E17" s="48" t="s">
        <v>76</v>
      </c>
      <c r="F17" s="47" t="s">
        <v>77</v>
      </c>
      <c r="G17" s="49" t="s">
        <v>78</v>
      </c>
    </row>
    <row r="18" spans="1:7" s="23" customFormat="1" x14ac:dyDescent="0.35">
      <c r="A18" s="38" t="s">
        <v>79</v>
      </c>
      <c r="B18" s="58"/>
      <c r="C18" s="39" t="s">
        <v>12</v>
      </c>
      <c r="D18" s="39" t="s">
        <v>94</v>
      </c>
      <c r="E18" s="40" t="s">
        <v>80</v>
      </c>
      <c r="F18" s="39" t="s">
        <v>81</v>
      </c>
      <c r="G18" s="41" t="s">
        <v>82</v>
      </c>
    </row>
    <row r="19" spans="1:7" s="23" customFormat="1" x14ac:dyDescent="0.35">
      <c r="A19" s="38" t="s">
        <v>83</v>
      </c>
      <c r="B19" s="58"/>
      <c r="C19" s="39" t="s">
        <v>12</v>
      </c>
      <c r="D19" s="39" t="s">
        <v>94</v>
      </c>
      <c r="E19" s="40" t="s">
        <v>84</v>
      </c>
      <c r="F19" s="39" t="s">
        <v>85</v>
      </c>
      <c r="G19" s="41" t="s">
        <v>86</v>
      </c>
    </row>
    <row r="20" spans="1:7" s="37" customFormat="1" x14ac:dyDescent="0.35">
      <c r="A20" s="42" t="s">
        <v>87</v>
      </c>
      <c r="B20" s="58"/>
      <c r="C20" s="43" t="s">
        <v>12</v>
      </c>
      <c r="D20" s="43" t="s">
        <v>95</v>
      </c>
      <c r="E20" s="44" t="s">
        <v>88</v>
      </c>
      <c r="F20" s="43" t="s">
        <v>89</v>
      </c>
      <c r="G20" s="45" t="s">
        <v>90</v>
      </c>
    </row>
    <row r="21" spans="1:7" s="23" customFormat="1" x14ac:dyDescent="0.35">
      <c r="A21" s="38" t="s">
        <v>98</v>
      </c>
      <c r="B21" s="57"/>
      <c r="C21" s="39" t="s">
        <v>99</v>
      </c>
      <c r="D21" s="39" t="s">
        <v>94</v>
      </c>
      <c r="E21" s="40" t="s">
        <v>100</v>
      </c>
      <c r="F21" s="39" t="s">
        <v>101</v>
      </c>
      <c r="G21" s="41" t="s">
        <v>110</v>
      </c>
    </row>
    <row r="22" spans="1:7" s="23" customFormat="1" x14ac:dyDescent="0.35">
      <c r="A22" s="38" t="s">
        <v>102</v>
      </c>
      <c r="B22" s="58"/>
      <c r="C22" s="39" t="s">
        <v>12</v>
      </c>
      <c r="D22" s="39" t="s">
        <v>94</v>
      </c>
      <c r="E22" s="40" t="s">
        <v>103</v>
      </c>
      <c r="F22" s="39" t="s">
        <v>104</v>
      </c>
      <c r="G22" s="41" t="s">
        <v>105</v>
      </c>
    </row>
    <row r="23" spans="1:7" s="23" customFormat="1" x14ac:dyDescent="0.35">
      <c r="A23" s="38" t="s">
        <v>106</v>
      </c>
      <c r="B23" s="57"/>
      <c r="C23" s="39" t="s">
        <v>12</v>
      </c>
      <c r="D23" s="39" t="s">
        <v>94</v>
      </c>
      <c r="E23" s="40" t="s">
        <v>107</v>
      </c>
      <c r="F23" s="39" t="s">
        <v>108</v>
      </c>
      <c r="G23" s="41" t="s">
        <v>109</v>
      </c>
    </row>
    <row r="24" spans="1:7" x14ac:dyDescent="0.35">
      <c r="A24" s="27" t="s">
        <v>112</v>
      </c>
      <c r="B24" s="27"/>
      <c r="C24" s="28" t="s">
        <v>113</v>
      </c>
      <c r="D24" s="28" t="s">
        <v>114</v>
      </c>
      <c r="E24" s="59" t="s">
        <v>113</v>
      </c>
      <c r="F24" s="28" t="s">
        <v>115</v>
      </c>
      <c r="G24" s="29"/>
    </row>
    <row r="25" spans="1:7" x14ac:dyDescent="0.35">
      <c r="A25" s="27"/>
      <c r="B25" s="27"/>
      <c r="C25" s="28"/>
      <c r="D25" s="28"/>
      <c r="E25" s="28"/>
      <c r="F25" s="28"/>
      <c r="G25" s="29"/>
    </row>
    <row r="26" spans="1:7" x14ac:dyDescent="0.35">
      <c r="A26" s="27"/>
      <c r="B26" s="27"/>
      <c r="C26" s="28"/>
      <c r="D26" s="28"/>
      <c r="E26" s="28"/>
      <c r="F26" s="28"/>
      <c r="G26" s="29"/>
    </row>
    <row r="27" spans="1:7" x14ac:dyDescent="0.35">
      <c r="A27" s="27"/>
      <c r="B27" s="27"/>
      <c r="C27" s="28"/>
      <c r="D27" s="28"/>
      <c r="E27" s="28"/>
      <c r="F27" s="28"/>
      <c r="G27" s="29"/>
    </row>
    <row r="28" spans="1:7" x14ac:dyDescent="0.35">
      <c r="A28" s="27"/>
      <c r="B28" s="27"/>
      <c r="C28" s="28"/>
      <c r="D28" s="28"/>
      <c r="E28" s="28"/>
      <c r="F28" s="28"/>
      <c r="G28" s="29"/>
    </row>
    <row r="29" spans="1:7" x14ac:dyDescent="0.35">
      <c r="A29" s="27"/>
      <c r="B29" s="27"/>
      <c r="C29" s="28"/>
      <c r="D29" s="28"/>
      <c r="E29" s="28"/>
      <c r="F29" s="28"/>
      <c r="G29" s="29"/>
    </row>
    <row r="30" spans="1:7" x14ac:dyDescent="0.35">
      <c r="A30" s="27"/>
      <c r="B30" s="27"/>
      <c r="C30" s="28"/>
      <c r="D30" s="28"/>
      <c r="E30" s="28"/>
      <c r="F30" s="28"/>
      <c r="G30" s="29"/>
    </row>
    <row r="31" spans="1:7" x14ac:dyDescent="0.35">
      <c r="A31" s="27"/>
      <c r="B31" s="27"/>
      <c r="C31" s="28"/>
      <c r="D31" s="28"/>
      <c r="E31" s="28"/>
      <c r="F31" s="28"/>
      <c r="G31" s="29"/>
    </row>
    <row r="32" spans="1:7" x14ac:dyDescent="0.35">
      <c r="A32" s="27"/>
      <c r="B32" s="27"/>
      <c r="C32" s="28"/>
      <c r="D32" s="28"/>
      <c r="E32" s="28"/>
      <c r="F32" s="28"/>
      <c r="G32" s="29"/>
    </row>
    <row r="33" spans="1:7" x14ac:dyDescent="0.35">
      <c r="A33" s="27"/>
      <c r="B33" s="27"/>
      <c r="C33" s="28"/>
      <c r="D33" s="28"/>
      <c r="E33" s="28"/>
      <c r="F33" s="28"/>
      <c r="G33" s="29"/>
    </row>
    <row r="34" spans="1:7" x14ac:dyDescent="0.35">
      <c r="A34" s="27"/>
      <c r="B34" s="27"/>
      <c r="C34" s="28"/>
      <c r="D34" s="28"/>
      <c r="E34" s="28"/>
      <c r="F34" s="28"/>
      <c r="G34" s="29"/>
    </row>
    <row r="35" spans="1:7" x14ac:dyDescent="0.35">
      <c r="A35" s="27"/>
      <c r="B35" s="27"/>
      <c r="C35" s="28"/>
      <c r="D35" s="28"/>
      <c r="E35" s="28"/>
      <c r="F35" s="28"/>
      <c r="G35" s="29"/>
    </row>
    <row r="36" spans="1:7" x14ac:dyDescent="0.35">
      <c r="A36" s="27"/>
      <c r="B36" s="27"/>
      <c r="C36" s="28"/>
      <c r="D36" s="28"/>
      <c r="E36" s="28"/>
      <c r="F36" s="28"/>
      <c r="G36" s="29"/>
    </row>
    <row r="37" spans="1:7" x14ac:dyDescent="0.35">
      <c r="A37" s="27"/>
      <c r="B37" s="27"/>
      <c r="C37" s="28"/>
      <c r="D37" s="28"/>
      <c r="E37" s="28"/>
      <c r="F37" s="28"/>
      <c r="G37" s="29"/>
    </row>
    <row r="38" spans="1:7" x14ac:dyDescent="0.35">
      <c r="A38" s="27"/>
      <c r="B38" s="27"/>
      <c r="C38" s="28"/>
      <c r="D38" s="28"/>
      <c r="E38" s="28"/>
      <c r="F38" s="28"/>
      <c r="G38" s="29"/>
    </row>
    <row r="39" spans="1:7" x14ac:dyDescent="0.35">
      <c r="A39" s="27"/>
      <c r="B39" s="27"/>
      <c r="C39" s="28"/>
      <c r="D39" s="28"/>
      <c r="E39" s="28"/>
      <c r="F39" s="28"/>
      <c r="G39" s="29"/>
    </row>
    <row r="40" spans="1:7" x14ac:dyDescent="0.35">
      <c r="A40" s="27"/>
      <c r="B40" s="27"/>
      <c r="C40" s="28"/>
      <c r="D40" s="28"/>
      <c r="E40" s="28"/>
      <c r="F40" s="28"/>
      <c r="G40" s="29"/>
    </row>
    <row r="41" spans="1:7" x14ac:dyDescent="0.35">
      <c r="A41" s="27"/>
      <c r="B41" s="27"/>
      <c r="C41" s="28"/>
      <c r="D41" s="28"/>
      <c r="E41" s="28"/>
      <c r="F41" s="28"/>
      <c r="G41" s="29"/>
    </row>
    <row r="42" spans="1:7" x14ac:dyDescent="0.35">
      <c r="A42" s="27"/>
      <c r="B42" s="27"/>
      <c r="C42" s="28"/>
      <c r="D42" s="28"/>
      <c r="E42" s="28"/>
      <c r="F42" s="28"/>
      <c r="G42" s="29"/>
    </row>
    <row r="43" spans="1:7" x14ac:dyDescent="0.35">
      <c r="A43" s="27"/>
      <c r="B43" s="27"/>
      <c r="C43" s="28"/>
      <c r="D43" s="28"/>
      <c r="E43" s="28"/>
      <c r="F43" s="28"/>
      <c r="G43" s="29"/>
    </row>
    <row r="44" spans="1:7" x14ac:dyDescent="0.35">
      <c r="A44" s="27"/>
      <c r="B44" s="27"/>
      <c r="C44" s="28"/>
      <c r="D44" s="28"/>
      <c r="E44" s="28"/>
      <c r="F44" s="28"/>
      <c r="G44" s="29"/>
    </row>
    <row r="45" spans="1:7" x14ac:dyDescent="0.35">
      <c r="A45" s="27"/>
      <c r="B45" s="27"/>
      <c r="C45" s="28"/>
      <c r="D45" s="28"/>
      <c r="E45" s="28"/>
      <c r="F45" s="28"/>
      <c r="G45" s="29"/>
    </row>
    <row r="46" spans="1:7" x14ac:dyDescent="0.35">
      <c r="A46" s="27"/>
      <c r="B46" s="27"/>
      <c r="C46" s="28"/>
      <c r="D46" s="28"/>
      <c r="E46" s="28"/>
      <c r="F46" s="28"/>
      <c r="G46" s="29"/>
    </row>
    <row r="47" spans="1:7" x14ac:dyDescent="0.35">
      <c r="A47" s="27"/>
      <c r="B47" s="27"/>
      <c r="C47" s="28"/>
      <c r="D47" s="28"/>
      <c r="E47" s="28"/>
      <c r="F47" s="28"/>
      <c r="G47" s="29"/>
    </row>
    <row r="48" spans="1:7" x14ac:dyDescent="0.35">
      <c r="A48" s="27"/>
      <c r="B48" s="27"/>
      <c r="C48" s="28"/>
      <c r="D48" s="28"/>
      <c r="E48" s="28"/>
      <c r="F48" s="28"/>
      <c r="G48" s="29"/>
    </row>
    <row r="49" spans="1:7" x14ac:dyDescent="0.35">
      <c r="A49" s="27"/>
      <c r="B49" s="27"/>
      <c r="C49" s="28"/>
      <c r="D49" s="28"/>
      <c r="E49" s="28"/>
      <c r="F49" s="28"/>
      <c r="G49" s="29"/>
    </row>
    <row r="50" spans="1:7" x14ac:dyDescent="0.35">
      <c r="A50" s="27"/>
      <c r="B50" s="27"/>
      <c r="C50" s="28"/>
      <c r="D50" s="28"/>
      <c r="E50" s="28"/>
      <c r="F50" s="28"/>
      <c r="G50" s="29"/>
    </row>
    <row r="51" spans="1:7" x14ac:dyDescent="0.35">
      <c r="A51" s="27"/>
      <c r="B51" s="27"/>
      <c r="C51" s="28"/>
      <c r="D51" s="28"/>
      <c r="E51" s="28"/>
      <c r="F51" s="28"/>
      <c r="G51" s="29"/>
    </row>
    <row r="52" spans="1:7" x14ac:dyDescent="0.35">
      <c r="A52" s="27"/>
      <c r="B52" s="27"/>
      <c r="C52" s="28"/>
      <c r="D52" s="28"/>
      <c r="E52" s="28"/>
      <c r="F52" s="28"/>
      <c r="G52" s="29"/>
    </row>
    <row r="53" spans="1:7" x14ac:dyDescent="0.35">
      <c r="A53" s="27"/>
      <c r="B53" s="27"/>
      <c r="C53" s="28"/>
      <c r="D53" s="28"/>
      <c r="E53" s="28"/>
      <c r="F53" s="28"/>
      <c r="G53" s="29"/>
    </row>
    <row r="54" spans="1:7" x14ac:dyDescent="0.35">
      <c r="A54" s="27"/>
      <c r="B54" s="27"/>
      <c r="C54" s="28"/>
      <c r="D54" s="28"/>
      <c r="E54" s="28"/>
      <c r="F54" s="28"/>
      <c r="G54" s="29"/>
    </row>
    <row r="55" spans="1:7" x14ac:dyDescent="0.35">
      <c r="A55" s="27"/>
      <c r="B55" s="27"/>
      <c r="C55" s="28"/>
      <c r="D55" s="28"/>
      <c r="E55" s="28"/>
      <c r="F55" s="28"/>
      <c r="G55" s="29"/>
    </row>
    <row r="56" spans="1:7" x14ac:dyDescent="0.35">
      <c r="A56" s="27"/>
      <c r="B56" s="27"/>
      <c r="C56" s="28"/>
      <c r="D56" s="28"/>
      <c r="E56" s="28"/>
      <c r="F56" s="28"/>
      <c r="G56" s="29"/>
    </row>
    <row r="57" spans="1:7" x14ac:dyDescent="0.35">
      <c r="A57" s="27"/>
      <c r="B57" s="27"/>
      <c r="C57" s="28"/>
      <c r="D57" s="28"/>
      <c r="E57" s="28"/>
      <c r="F57" s="28"/>
      <c r="G57" s="29"/>
    </row>
    <row r="58" spans="1:7" x14ac:dyDescent="0.35">
      <c r="A58" s="27"/>
      <c r="B58" s="27"/>
      <c r="C58" s="28"/>
      <c r="D58" s="28"/>
      <c r="E58" s="28"/>
      <c r="F58" s="28"/>
      <c r="G58" s="29"/>
    </row>
    <row r="59" spans="1:7" x14ac:dyDescent="0.35">
      <c r="A59" s="27"/>
      <c r="B59" s="27"/>
      <c r="C59" s="28"/>
      <c r="D59" s="28"/>
      <c r="E59" s="28"/>
      <c r="F59" s="28"/>
      <c r="G59" s="29"/>
    </row>
    <row r="60" spans="1:7" x14ac:dyDescent="0.35">
      <c r="A60" s="27"/>
      <c r="B60" s="27"/>
      <c r="C60" s="28"/>
      <c r="D60" s="28"/>
      <c r="E60" s="28"/>
      <c r="F60" s="28"/>
      <c r="G60" s="29"/>
    </row>
    <row r="61" spans="1:7" x14ac:dyDescent="0.35">
      <c r="A61" s="27"/>
      <c r="B61" s="27"/>
      <c r="C61" s="28"/>
      <c r="D61" s="28"/>
      <c r="E61" s="28"/>
      <c r="F61" s="28"/>
      <c r="G61" s="29"/>
    </row>
    <row r="62" spans="1:7" x14ac:dyDescent="0.35">
      <c r="A62" s="27"/>
      <c r="B62" s="27"/>
      <c r="C62" s="28"/>
      <c r="D62" s="28"/>
      <c r="E62" s="28"/>
      <c r="F62" s="28"/>
      <c r="G62" s="29"/>
    </row>
    <row r="63" spans="1:7" x14ac:dyDescent="0.35">
      <c r="A63" s="27"/>
      <c r="B63" s="27"/>
      <c r="C63" s="28"/>
      <c r="D63" s="28"/>
      <c r="E63" s="28"/>
      <c r="F63" s="28"/>
      <c r="G63" s="29"/>
    </row>
    <row r="64" spans="1:7" x14ac:dyDescent="0.35">
      <c r="A64" s="27"/>
      <c r="B64" s="27"/>
      <c r="C64" s="28"/>
      <c r="D64" s="28"/>
      <c r="E64" s="28"/>
      <c r="F64" s="28"/>
      <c r="G64" s="29"/>
    </row>
    <row r="65" spans="1:7" x14ac:dyDescent="0.35">
      <c r="A65" s="27"/>
      <c r="B65" s="27"/>
      <c r="C65" s="28"/>
      <c r="D65" s="28"/>
      <c r="E65" s="28"/>
      <c r="F65" s="28"/>
      <c r="G65" s="29"/>
    </row>
    <row r="66" spans="1:7" x14ac:dyDescent="0.35">
      <c r="A66" s="27"/>
      <c r="B66" s="27"/>
      <c r="C66" s="28"/>
      <c r="D66" s="28"/>
      <c r="E66" s="28"/>
      <c r="F66" s="28"/>
      <c r="G66" s="29"/>
    </row>
    <row r="67" spans="1:7" x14ac:dyDescent="0.35">
      <c r="A67" s="27"/>
      <c r="B67" s="27"/>
      <c r="C67" s="28"/>
      <c r="D67" s="28"/>
      <c r="E67" s="28"/>
      <c r="F67" s="28"/>
      <c r="G67" s="29"/>
    </row>
    <row r="68" spans="1:7" x14ac:dyDescent="0.35">
      <c r="A68" s="27"/>
      <c r="B68" s="27"/>
      <c r="C68" s="28"/>
      <c r="D68" s="28"/>
      <c r="E68" s="28"/>
      <c r="F68" s="28"/>
      <c r="G68" s="29"/>
    </row>
    <row r="69" spans="1:7" x14ac:dyDescent="0.35">
      <c r="A69" s="27"/>
      <c r="B69" s="27"/>
      <c r="C69" s="28"/>
      <c r="D69" s="28"/>
      <c r="E69" s="28"/>
      <c r="F69" s="28"/>
      <c r="G69" s="29"/>
    </row>
    <row r="70" spans="1:7" x14ac:dyDescent="0.35">
      <c r="A70" s="27"/>
      <c r="B70" s="27"/>
      <c r="C70" s="28"/>
      <c r="D70" s="28"/>
      <c r="E70" s="28"/>
      <c r="F70" s="28"/>
      <c r="G70" s="29"/>
    </row>
    <row r="71" spans="1:7" x14ac:dyDescent="0.35">
      <c r="A71" s="27"/>
      <c r="B71" s="27"/>
      <c r="C71" s="28"/>
      <c r="D71" s="28"/>
      <c r="E71" s="28"/>
      <c r="F71" s="28"/>
      <c r="G71" s="29"/>
    </row>
    <row r="72" spans="1:7" x14ac:dyDescent="0.35">
      <c r="A72" s="27"/>
      <c r="B72" s="27"/>
      <c r="C72" s="28"/>
      <c r="D72" s="28"/>
      <c r="E72" s="28"/>
      <c r="F72" s="28"/>
      <c r="G72" s="29"/>
    </row>
    <row r="73" spans="1:7" x14ac:dyDescent="0.35">
      <c r="A73" s="27"/>
      <c r="B73" s="27"/>
      <c r="C73" s="28"/>
      <c r="D73" s="28"/>
      <c r="E73" s="28"/>
      <c r="F73" s="28"/>
      <c r="G73" s="29"/>
    </row>
    <row r="74" spans="1:7" x14ac:dyDescent="0.35">
      <c r="A74" s="27"/>
      <c r="B74" s="27"/>
      <c r="C74" s="28"/>
      <c r="D74" s="28"/>
      <c r="E74" s="28"/>
      <c r="F74" s="28"/>
      <c r="G74" s="29"/>
    </row>
    <row r="75" spans="1:7" x14ac:dyDescent="0.35">
      <c r="A75" s="27"/>
      <c r="B75" s="27"/>
      <c r="C75" s="28"/>
      <c r="D75" s="28"/>
      <c r="E75" s="28"/>
      <c r="F75" s="28"/>
      <c r="G75" s="29"/>
    </row>
    <row r="76" spans="1:7" x14ac:dyDescent="0.35">
      <c r="A76" s="27"/>
      <c r="B76" s="27"/>
      <c r="C76" s="28"/>
      <c r="D76" s="28"/>
      <c r="E76" s="28"/>
      <c r="F76" s="28"/>
      <c r="G76" s="29"/>
    </row>
    <row r="77" spans="1:7" x14ac:dyDescent="0.35">
      <c r="A77" s="27"/>
      <c r="B77" s="27"/>
      <c r="C77" s="28"/>
      <c r="D77" s="28"/>
      <c r="E77" s="28"/>
      <c r="F77" s="28"/>
      <c r="G77" s="29"/>
    </row>
    <row r="78" spans="1:7" x14ac:dyDescent="0.35">
      <c r="A78" s="27"/>
      <c r="B78" s="27"/>
      <c r="C78" s="28"/>
      <c r="D78" s="28"/>
      <c r="E78" s="28"/>
      <c r="F78" s="28"/>
      <c r="G78" s="29"/>
    </row>
    <row r="79" spans="1:7" x14ac:dyDescent="0.35">
      <c r="A79" s="27"/>
      <c r="B79" s="27"/>
      <c r="C79" s="28"/>
      <c r="D79" s="28"/>
      <c r="E79" s="28"/>
      <c r="F79" s="28"/>
      <c r="G79" s="29"/>
    </row>
    <row r="80" spans="1:7" x14ac:dyDescent="0.35">
      <c r="A80" s="27"/>
      <c r="B80" s="27"/>
      <c r="C80" s="28"/>
      <c r="D80" s="28"/>
      <c r="E80" s="28"/>
      <c r="F80" s="28"/>
      <c r="G80" s="29"/>
    </row>
    <row r="81" spans="1:7" x14ac:dyDescent="0.35">
      <c r="A81" s="27"/>
      <c r="B81" s="27"/>
      <c r="C81" s="28"/>
      <c r="D81" s="28"/>
      <c r="E81" s="28"/>
      <c r="F81" s="28"/>
      <c r="G81" s="29"/>
    </row>
    <row r="82" spans="1:7" x14ac:dyDescent="0.35">
      <c r="A82" s="27"/>
      <c r="B82" s="27"/>
      <c r="C82" s="28"/>
      <c r="D82" s="28"/>
      <c r="E82" s="28"/>
      <c r="F82" s="28"/>
      <c r="G82" s="29"/>
    </row>
    <row r="83" spans="1:7" x14ac:dyDescent="0.35">
      <c r="A83" s="27"/>
      <c r="B83" s="27"/>
      <c r="C83" s="28"/>
      <c r="D83" s="28"/>
      <c r="E83" s="28"/>
      <c r="F83" s="28"/>
      <c r="G83" s="29"/>
    </row>
    <row r="84" spans="1:7" x14ac:dyDescent="0.35">
      <c r="A84" s="27"/>
      <c r="B84" s="27"/>
      <c r="C84" s="28"/>
      <c r="D84" s="28"/>
      <c r="E84" s="28"/>
      <c r="F84" s="28"/>
      <c r="G84" s="29"/>
    </row>
    <row r="85" spans="1:7" x14ac:dyDescent="0.35">
      <c r="A85" s="27"/>
      <c r="B85" s="27"/>
      <c r="C85" s="28"/>
      <c r="D85" s="28"/>
      <c r="E85" s="28"/>
      <c r="F85" s="28"/>
      <c r="G85" s="29"/>
    </row>
    <row r="86" spans="1:7" x14ac:dyDescent="0.35">
      <c r="A86" s="27"/>
      <c r="B86" s="27"/>
      <c r="C86" s="28"/>
      <c r="D86" s="28"/>
      <c r="E86" s="28"/>
      <c r="F86" s="28"/>
      <c r="G86" s="29"/>
    </row>
    <row r="87" spans="1:7" x14ac:dyDescent="0.35">
      <c r="A87" s="27"/>
      <c r="B87" s="27"/>
      <c r="C87" s="28"/>
      <c r="D87" s="28"/>
      <c r="E87" s="28"/>
      <c r="F87" s="28"/>
      <c r="G87" s="29"/>
    </row>
    <row r="88" spans="1:7" x14ac:dyDescent="0.35">
      <c r="A88" s="27"/>
      <c r="B88" s="27"/>
      <c r="C88" s="28"/>
      <c r="D88" s="28"/>
      <c r="E88" s="28"/>
      <c r="F88" s="28"/>
      <c r="G88" s="29"/>
    </row>
    <row r="89" spans="1:7" x14ac:dyDescent="0.35">
      <c r="A89" s="27"/>
      <c r="B89" s="27"/>
      <c r="C89" s="28"/>
      <c r="D89" s="28"/>
      <c r="E89" s="28"/>
      <c r="F89" s="28"/>
      <c r="G89" s="29"/>
    </row>
    <row r="90" spans="1:7" x14ac:dyDescent="0.35">
      <c r="A90" s="27"/>
      <c r="B90" s="27"/>
      <c r="C90" s="28"/>
      <c r="D90" s="28"/>
      <c r="E90" s="28"/>
      <c r="F90" s="28"/>
      <c r="G90" s="29"/>
    </row>
    <row r="91" spans="1:7" x14ac:dyDescent="0.35">
      <c r="A91" s="27"/>
      <c r="B91" s="27"/>
      <c r="C91" s="28"/>
      <c r="D91" s="28"/>
      <c r="E91" s="28"/>
      <c r="F91" s="28"/>
      <c r="G91" s="29"/>
    </row>
    <row r="92" spans="1:7" x14ac:dyDescent="0.35">
      <c r="A92" s="27"/>
      <c r="B92" s="27"/>
      <c r="C92" s="28"/>
      <c r="D92" s="28"/>
      <c r="E92" s="28"/>
      <c r="F92" s="28"/>
      <c r="G92" s="29"/>
    </row>
    <row r="93" spans="1:7" x14ac:dyDescent="0.35">
      <c r="A93" s="27"/>
      <c r="B93" s="27"/>
      <c r="C93" s="28"/>
      <c r="D93" s="28"/>
      <c r="E93" s="28"/>
      <c r="F93" s="28"/>
      <c r="G93" s="29"/>
    </row>
    <row r="94" spans="1:7" x14ac:dyDescent="0.35">
      <c r="A94" s="27"/>
      <c r="B94" s="27"/>
      <c r="C94" s="28"/>
      <c r="D94" s="28"/>
      <c r="E94" s="28"/>
      <c r="F94" s="28"/>
      <c r="G94" s="29"/>
    </row>
    <row r="95" spans="1:7" x14ac:dyDescent="0.35">
      <c r="A95" s="27"/>
      <c r="B95" s="27"/>
      <c r="C95" s="28"/>
      <c r="D95" s="28"/>
      <c r="E95" s="28"/>
      <c r="F95" s="28"/>
      <c r="G95" s="29"/>
    </row>
    <row r="96" spans="1:7" x14ac:dyDescent="0.35">
      <c r="A96" s="27"/>
      <c r="B96" s="27"/>
      <c r="C96" s="28"/>
      <c r="D96" s="28"/>
      <c r="E96" s="28"/>
      <c r="F96" s="28"/>
      <c r="G96" s="29"/>
    </row>
    <row r="97" spans="1:7" x14ac:dyDescent="0.35">
      <c r="A97" s="27"/>
      <c r="B97" s="27"/>
      <c r="C97" s="28"/>
      <c r="D97" s="28"/>
      <c r="E97" s="28"/>
      <c r="F97" s="28"/>
      <c r="G97" s="29"/>
    </row>
    <row r="98" spans="1:7" x14ac:dyDescent="0.35">
      <c r="A98" s="27"/>
      <c r="B98" s="27"/>
      <c r="C98" s="28"/>
      <c r="D98" s="28"/>
      <c r="E98" s="28"/>
      <c r="F98" s="28"/>
      <c r="G98" s="29"/>
    </row>
    <row r="99" spans="1:7" x14ac:dyDescent="0.35">
      <c r="A99" s="27"/>
      <c r="B99" s="27"/>
      <c r="C99" s="28"/>
      <c r="D99" s="28"/>
      <c r="E99" s="28"/>
      <c r="F99" s="28"/>
      <c r="G99" s="29"/>
    </row>
    <row r="100" spans="1:7" x14ac:dyDescent="0.35">
      <c r="A100" s="27"/>
      <c r="B100" s="27"/>
      <c r="C100" s="28"/>
      <c r="D100" s="28"/>
      <c r="E100" s="28"/>
      <c r="F100" s="28"/>
      <c r="G100" s="29"/>
    </row>
    <row r="101" spans="1:7" x14ac:dyDescent="0.35">
      <c r="A101" s="27"/>
      <c r="B101" s="27"/>
      <c r="C101" s="28"/>
      <c r="D101" s="28"/>
      <c r="E101" s="28"/>
      <c r="F101" s="28"/>
      <c r="G101" s="29"/>
    </row>
    <row r="102" spans="1:7" x14ac:dyDescent="0.35">
      <c r="A102" s="27"/>
      <c r="B102" s="27"/>
      <c r="C102" s="28"/>
      <c r="D102" s="28"/>
      <c r="E102" s="28"/>
      <c r="F102" s="28"/>
      <c r="G102" s="29"/>
    </row>
    <row r="103" spans="1:7" x14ac:dyDescent="0.35">
      <c r="A103" s="27"/>
      <c r="B103" s="27"/>
      <c r="C103" s="28"/>
      <c r="D103" s="28"/>
      <c r="E103" s="28"/>
      <c r="F103" s="28"/>
      <c r="G103" s="29"/>
    </row>
    <row r="104" spans="1:7" x14ac:dyDescent="0.35">
      <c r="A104" s="27"/>
      <c r="B104" s="27"/>
      <c r="C104" s="28"/>
      <c r="D104" s="28"/>
      <c r="E104" s="28"/>
      <c r="F104" s="28"/>
      <c r="G104" s="29"/>
    </row>
    <row r="105" spans="1:7" x14ac:dyDescent="0.35">
      <c r="A105" s="27"/>
      <c r="B105" s="27"/>
      <c r="C105" s="28"/>
      <c r="D105" s="28"/>
      <c r="E105" s="28"/>
      <c r="F105" s="28"/>
      <c r="G105" s="29"/>
    </row>
    <row r="106" spans="1:7" x14ac:dyDescent="0.35">
      <c r="A106" s="27"/>
      <c r="B106" s="27"/>
      <c r="C106" s="28"/>
      <c r="D106" s="28"/>
      <c r="E106" s="28"/>
      <c r="F106" s="28"/>
      <c r="G106" s="29"/>
    </row>
  </sheetData>
  <hyperlinks>
    <hyperlink ref="E2" r:id="rId1" xr:uid="{0745C1B8-F1ED-46B4-9120-B9255A4CD582}"/>
    <hyperlink ref="E3" r:id="rId2" location="Fun" xr:uid="{7105E36D-B673-42DC-ABE2-63B6EA72A595}"/>
    <hyperlink ref="E4" r:id="rId3" location="project" xr:uid="{AC87010D-7D67-4AE6-9AA6-3DDFB6E4C523}"/>
    <hyperlink ref="E5" r:id="rId4" xr:uid="{A4683091-B7D7-46D7-B967-C2C6EB0C7657}"/>
    <hyperlink ref="E6" r:id="rId5" xr:uid="{BA2CECE4-F73A-4749-BD74-88C543AE7F97}"/>
    <hyperlink ref="E7" r:id="rId6" xr:uid="{E1370B23-5796-4FA7-AEDC-9A3C459B7737}"/>
    <hyperlink ref="E8" r:id="rId7" xr:uid="{AFCC6CFD-2149-4A12-BE31-146CC21887C0}"/>
    <hyperlink ref="E9" r:id="rId8" xr:uid="{FBDF2553-B780-4195-89CD-6FCA2D68A3FF}"/>
    <hyperlink ref="E10" r:id="rId9" xr:uid="{ECF656E9-CB3A-4F94-A091-5E758A0CAC6E}"/>
    <hyperlink ref="E11" r:id="rId10" xr:uid="{96F91877-4FBC-46BD-8EDD-7A028C306927}"/>
    <hyperlink ref="E12" r:id="rId11" xr:uid="{FB04728A-170C-45BC-8F1C-673EA16582F6}"/>
    <hyperlink ref="E13" r:id="rId12" xr:uid="{30EF1519-2A5F-43F6-9512-B207D6311D11}"/>
    <hyperlink ref="E14" r:id="rId13" xr:uid="{BFB56D81-F020-4427-8F8A-0FD687C1DF5C}"/>
    <hyperlink ref="E15" r:id="rId14" xr:uid="{4DFE81C8-D925-429E-9BD7-EBF14B902729}"/>
    <hyperlink ref="E16" r:id="rId15" xr:uid="{D72132B4-EFFF-48AF-8931-474DB0B87B6F}"/>
    <hyperlink ref="E17" r:id="rId16" xr:uid="{296511AD-E80D-403E-904B-76B09266D675}"/>
    <hyperlink ref="E18" r:id="rId17" xr:uid="{FF4AA3FF-2B50-4D5F-8E3B-1B5E25F00656}"/>
    <hyperlink ref="E19" r:id="rId18" xr:uid="{475F48A8-6DCC-423A-950E-FC24EB838F9D}"/>
    <hyperlink ref="E20" r:id="rId19" xr:uid="{1CC302B0-584C-4A9F-A6D0-702C1DB59A15}"/>
    <hyperlink ref="E21" r:id="rId20" xr:uid="{E7B0FCA3-1642-499A-953E-363AED51E8BB}"/>
    <hyperlink ref="E22" r:id="rId21" xr:uid="{9CC89986-CE00-431A-9DD4-A9495D2623A2}"/>
    <hyperlink ref="E23" r:id="rId22" xr:uid="{97DC5BB5-DD4D-4574-AAAE-73CA715FC8E9}"/>
    <hyperlink ref="E24" r:id="rId23" xr:uid="{4ABAD634-FD14-484A-A732-E29574983E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Timesheet</vt:lpstr>
      <vt:lpstr>Lit 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dillon kalyan</dc:creator>
  <cp:lastModifiedBy>dillon kalyan</cp:lastModifiedBy>
  <dcterms:created xsi:type="dcterms:W3CDTF">2025-10-16T14:44:05Z</dcterms:created>
  <dcterms:modified xsi:type="dcterms:W3CDTF">2026-01-27T15:50:29Z</dcterms:modified>
</cp:coreProperties>
</file>